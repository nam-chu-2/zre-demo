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/>
  <mc:AlternateContent xmlns:mc="http://schemas.openxmlformats.org/markup-compatibility/2006">
    <mc:Choice Requires="x15">
      <x15ac:absPath xmlns:x15ac="http://schemas.microsoft.com/office/spreadsheetml/2010/11/ac" url="/Users/JoeZappavigna/"/>
    </mc:Choice>
  </mc:AlternateContent>
  <xr:revisionPtr revIDLastSave="0" documentId="8_{824F2820-A5B9-4046-B607-4099C545DD6B}" xr6:coauthVersionLast="47" xr6:coauthVersionMax="47" xr10:uidLastSave="{00000000-0000-0000-0000-000000000000}"/>
  <bookViews>
    <workbookView xWindow="0" yWindow="500" windowWidth="28800" windowHeight="15940" tabRatio="917" xr2:uid="{00000000-000D-0000-FFFF-FFFF00000000}"/>
  </bookViews>
  <sheets>
    <sheet name="277 STONEWAY DRIVE" sheetId="3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31" l="1"/>
  <c r="C40" i="31" s="1"/>
  <c r="H34" i="31"/>
  <c r="C29" i="31"/>
  <c r="C28" i="31"/>
  <c r="C27" i="31"/>
  <c r="H13" i="31"/>
  <c r="H12" i="31"/>
  <c r="C10" i="31"/>
  <c r="C11" i="31" s="1"/>
  <c r="H14" i="31" s="1"/>
  <c r="F13" i="31" l="1"/>
  <c r="C15" i="31" s="1"/>
  <c r="C24" i="31" s="1"/>
  <c r="C33" i="31" s="1"/>
  <c r="C41" i="31" s="1"/>
  <c r="C43" i="31" s="1"/>
  <c r="D43" i="31" s="1"/>
</calcChain>
</file>

<file path=xl/sharedStrings.xml><?xml version="1.0" encoding="utf-8"?>
<sst xmlns="http://schemas.openxmlformats.org/spreadsheetml/2006/main" count="45" uniqueCount="43">
  <si>
    <t>Ver2.0</t>
  </si>
  <si>
    <t>Details</t>
  </si>
  <si>
    <t>Update highlighted fields only</t>
  </si>
  <si>
    <t>Purchase Price:</t>
  </si>
  <si>
    <t>Down Payment:</t>
  </si>
  <si>
    <t>Amount of Mortgage:</t>
  </si>
  <si>
    <t>Mortgage calculator</t>
  </si>
  <si>
    <t>Interest Rate:</t>
  </si>
  <si>
    <t>rate</t>
  </si>
  <si>
    <t>Amortization Period:</t>
  </si>
  <si>
    <t>payments (years)</t>
  </si>
  <si>
    <t>Payment Frequency:</t>
  </si>
  <si>
    <t>Monthly</t>
  </si>
  <si>
    <t>principal of mortgage</t>
  </si>
  <si>
    <t>Payment</t>
  </si>
  <si>
    <t>(Principal &amp; Interest):</t>
  </si>
  <si>
    <t>Expenses (Monthly)</t>
  </si>
  <si>
    <t>Rental Income</t>
  </si>
  <si>
    <t>monthly</t>
  </si>
  <si>
    <t>yearly</t>
  </si>
  <si>
    <t>Mortgage</t>
  </si>
  <si>
    <t>Hydro</t>
  </si>
  <si>
    <t>condo</t>
  </si>
  <si>
    <t>Maintenance</t>
  </si>
  <si>
    <t>*</t>
  </si>
  <si>
    <t>month</t>
  </si>
  <si>
    <t>year</t>
  </si>
  <si>
    <t>Insurance</t>
  </si>
  <si>
    <t>Appartment 1</t>
  </si>
  <si>
    <t>Property Tax</t>
  </si>
  <si>
    <t>Garage</t>
  </si>
  <si>
    <t>Water</t>
  </si>
  <si>
    <t>Appartment 3</t>
  </si>
  <si>
    <t>Heat</t>
  </si>
  <si>
    <t>Appartment 4</t>
  </si>
  <si>
    <t>Appartment 5</t>
  </si>
  <si>
    <t>Total</t>
  </si>
  <si>
    <t>Appartment 6</t>
  </si>
  <si>
    <t>Total Rental Income</t>
  </si>
  <si>
    <t>Total Expenses</t>
  </si>
  <si>
    <t>Net Profit/Loss(-) Per Month</t>
  </si>
  <si>
    <t>(year)</t>
  </si>
  <si>
    <t>Zapp's Number Checker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</si>
</sst>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;[Red]\-&quot;$&quot;#,##0"/>
    <numFmt numFmtId="165" formatCode="&quot;$&quot;#,##0.00;[Red]\-&quot;$&quot;#,##0.00"/>
    <numFmt numFmtId="166" formatCode="&quot;$&quot;#,##0.000;[Red]\-&quot;$&quot;#,##0.00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Arial"/>
      <family val="2"/>
    </font>
    <font>
      <b/>
      <i/>
      <u/>
      <sz val="16"/>
      <name val="Arial"/>
      <family val="2"/>
    </font>
    <font>
      <b/>
      <i/>
      <sz val="12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rgb="FF0090D0"/>
      <name val="Arial"/>
      <family val="2"/>
    </font>
    <font>
      <b/>
      <sz val="12"/>
      <color rgb="FF808080"/>
      <name val="Arial"/>
      <family val="2"/>
    </font>
    <font>
      <sz val="10"/>
      <name val="Arial"/>
      <family val="2"/>
    </font>
    <font>
      <b/>
      <sz val="12"/>
      <color rgb="FF000000"/>
      <name val="Arial"/>
      <family val="2"/>
    </font>
    <font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rgb="FF228B22"/>
      </left>
      <right/>
      <top style="medium">
        <color rgb="FF228B22"/>
      </top>
      <bottom/>
      <diagonal/>
    </border>
    <border>
      <left/>
      <right style="medium">
        <color rgb="FF228B22"/>
      </right>
      <top style="medium">
        <color rgb="FF228B22"/>
      </top>
      <bottom/>
      <diagonal/>
    </border>
    <border>
      <left style="medium">
        <color rgb="FF228B22"/>
      </left>
      <right/>
      <top/>
      <bottom/>
      <diagonal/>
    </border>
    <border>
      <left/>
      <right style="medium">
        <color rgb="FF228B22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228B22"/>
      </left>
      <right/>
      <top/>
      <bottom style="medium">
        <color rgb="FF228B22"/>
      </bottom>
      <diagonal/>
    </border>
    <border>
      <left/>
      <right style="medium">
        <color rgb="FF228B22"/>
      </right>
      <top/>
      <bottom style="medium">
        <color rgb="FF228B22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4" fillId="0" borderId="0" xfId="1" applyFont="1"/>
    <xf numFmtId="0" fontId="5" fillId="0" borderId="0" xfId="1" applyFont="1"/>
    <xf numFmtId="0" fontId="6" fillId="0" borderId="0" xfId="1" applyFont="1"/>
    <xf numFmtId="0" fontId="7" fillId="2" borderId="0" xfId="1" applyFont="1" applyFill="1"/>
    <xf numFmtId="0" fontId="1" fillId="0" borderId="1" xfId="1" applyBorder="1"/>
    <xf numFmtId="0" fontId="1" fillId="0" borderId="2" xfId="1" applyBorder="1"/>
    <xf numFmtId="0" fontId="1" fillId="0" borderId="3" xfId="1" applyBorder="1"/>
    <xf numFmtId="9" fontId="1" fillId="0" borderId="0" xfId="1" applyNumberFormat="1"/>
    <xf numFmtId="0" fontId="1" fillId="0" borderId="4" xfId="1" applyBorder="1"/>
    <xf numFmtId="0" fontId="1" fillId="0" borderId="5" xfId="1" applyBorder="1"/>
    <xf numFmtId="0" fontId="8" fillId="0" borderId="6" xfId="1" applyFont="1" applyBorder="1" applyAlignment="1">
      <alignment vertical="center" wrapText="1"/>
    </xf>
    <xf numFmtId="164" fontId="9" fillId="2" borderId="7" xfId="1" applyNumberFormat="1" applyFont="1" applyFill="1" applyBorder="1" applyAlignment="1" applyProtection="1">
      <alignment horizontal="right" vertical="center" wrapText="1"/>
      <protection locked="0"/>
    </xf>
    <xf numFmtId="164" fontId="1" fillId="0" borderId="0" xfId="1" applyNumberFormat="1"/>
    <xf numFmtId="0" fontId="8" fillId="0" borderId="8" xfId="1" applyFont="1" applyBorder="1" applyAlignment="1">
      <alignment vertical="center" wrapText="1"/>
    </xf>
    <xf numFmtId="164" fontId="9" fillId="0" borderId="9" xfId="1" applyNumberFormat="1" applyFont="1" applyBorder="1" applyAlignment="1">
      <alignment horizontal="right" vertical="center" wrapText="1"/>
    </xf>
    <xf numFmtId="0" fontId="10" fillId="0" borderId="0" xfId="1" applyFont="1"/>
    <xf numFmtId="10" fontId="9" fillId="2" borderId="9" xfId="1" applyNumberFormat="1" applyFont="1" applyFill="1" applyBorder="1" applyAlignment="1" applyProtection="1">
      <alignment horizontal="right" vertical="center" wrapText="1"/>
      <protection locked="0"/>
    </xf>
    <xf numFmtId="0" fontId="1" fillId="0" borderId="10" xfId="1" applyBorder="1"/>
    <xf numFmtId="0" fontId="1" fillId="0" borderId="11" xfId="1" applyBorder="1"/>
    <xf numFmtId="9" fontId="1" fillId="0" borderId="12" xfId="1" applyNumberFormat="1" applyBorder="1"/>
    <xf numFmtId="0" fontId="9" fillId="2" borderId="9" xfId="1" applyFont="1" applyFill="1" applyBorder="1" applyAlignment="1" applyProtection="1">
      <alignment horizontal="right" vertical="center" wrapText="1"/>
      <protection locked="0"/>
    </xf>
    <xf numFmtId="165" fontId="1" fillId="0" borderId="13" xfId="1" applyNumberFormat="1" applyBorder="1"/>
    <xf numFmtId="0" fontId="1" fillId="0" borderId="14" xfId="1" applyBorder="1"/>
    <xf numFmtId="0" fontId="9" fillId="0" borderId="9" xfId="1" applyFont="1" applyBorder="1" applyAlignment="1">
      <alignment horizontal="right" vertical="center" wrapText="1"/>
    </xf>
    <xf numFmtId="0" fontId="1" fillId="0" borderId="15" xfId="1" applyBorder="1"/>
    <xf numFmtId="0" fontId="10" fillId="0" borderId="16" xfId="1" applyFont="1" applyBorder="1"/>
    <xf numFmtId="164" fontId="1" fillId="0" borderId="17" xfId="1" applyNumberFormat="1" applyBorder="1"/>
    <xf numFmtId="0" fontId="8" fillId="0" borderId="18" xfId="1" applyFont="1" applyBorder="1" applyAlignment="1">
      <alignment vertical="center" wrapText="1"/>
    </xf>
    <xf numFmtId="0" fontId="1" fillId="0" borderId="20" xfId="1" applyBorder="1"/>
    <xf numFmtId="0" fontId="1" fillId="0" borderId="21" xfId="1" applyBorder="1"/>
    <xf numFmtId="0" fontId="1" fillId="0" borderId="22" xfId="1" applyBorder="1"/>
    <xf numFmtId="165" fontId="1" fillId="0" borderId="0" xfId="1" applyNumberFormat="1"/>
    <xf numFmtId="166" fontId="1" fillId="0" borderId="0" xfId="1" applyNumberFormat="1"/>
    <xf numFmtId="0" fontId="12" fillId="0" borderId="23" xfId="1" applyFont="1" applyBorder="1" applyAlignment="1">
      <alignment horizontal="center"/>
    </xf>
    <xf numFmtId="164" fontId="1" fillId="0" borderId="24" xfId="1" applyNumberFormat="1" applyBorder="1"/>
    <xf numFmtId="0" fontId="1" fillId="0" borderId="25" xfId="1" applyBorder="1"/>
    <xf numFmtId="0" fontId="1" fillId="0" borderId="26" xfId="1" applyBorder="1"/>
    <xf numFmtId="0" fontId="1" fillId="2" borderId="26" xfId="1" applyFill="1" applyBorder="1" applyProtection="1">
      <protection locked="0"/>
    </xf>
    <xf numFmtId="0" fontId="1" fillId="2" borderId="27" xfId="1" applyFill="1" applyBorder="1" applyProtection="1">
      <protection locked="0"/>
    </xf>
    <xf numFmtId="2" fontId="1" fillId="2" borderId="27" xfId="1" applyNumberFormat="1" applyFill="1" applyBorder="1" applyProtection="1">
      <protection locked="0"/>
    </xf>
    <xf numFmtId="164" fontId="10" fillId="0" borderId="0" xfId="1" applyNumberFormat="1" applyFont="1"/>
    <xf numFmtId="0" fontId="7" fillId="0" borderId="0" xfId="1" applyFont="1"/>
    <xf numFmtId="2" fontId="7" fillId="0" borderId="0" xfId="1" applyNumberFormat="1" applyFont="1"/>
    <xf numFmtId="2" fontId="1" fillId="0" borderId="28" xfId="1" applyNumberFormat="1" applyBorder="1"/>
    <xf numFmtId="10" fontId="1" fillId="0" borderId="0" xfId="1" applyNumberFormat="1"/>
    <xf numFmtId="2" fontId="1" fillId="0" borderId="29" xfId="1" applyNumberFormat="1" applyBorder="1"/>
    <xf numFmtId="2" fontId="7" fillId="0" borderId="30" xfId="1" applyNumberFormat="1" applyFont="1" applyBorder="1"/>
    <xf numFmtId="2" fontId="1" fillId="0" borderId="31" xfId="1" applyNumberFormat="1" applyBorder="1"/>
    <xf numFmtId="0" fontId="10" fillId="0" borderId="32" xfId="1" applyFont="1" applyBorder="1"/>
    <xf numFmtId="0" fontId="13" fillId="0" borderId="0" xfId="1" applyFont="1"/>
    <xf numFmtId="0" fontId="12" fillId="0" borderId="33" xfId="1" applyFont="1" applyBorder="1" applyAlignment="1">
      <alignment horizontal="center"/>
    </xf>
    <xf numFmtId="164" fontId="11" fillId="0" borderId="9" xfId="1" applyNumberFormat="1" applyFont="1" applyBorder="1" applyAlignment="1">
      <alignment horizontal="right" vertical="center" wrapText="1"/>
    </xf>
    <xf numFmtId="164" fontId="11" fillId="0" borderId="19" xfId="1" applyNumberFormat="1" applyFont="1" applyBorder="1" applyAlignment="1">
      <alignment horizontal="right" vertical="center" wrapText="1"/>
    </xf>
  </cellXfs>
  <cellStyles count="2"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91567-628B-3A48-890C-C04A06621969}">
  <dimension ref="A3:J44"/>
  <sheetViews>
    <sheetView tabSelected="1" zoomScale="138" zoomScaleNormal="90" workbookViewId="0">
      <selection activeCell="E6" sqref="E6"/>
    </sheetView>
  </sheetViews>
  <sheetFormatPr baseColWidth="10" defaultColWidth="8.83203125" defaultRowHeight="13" x14ac:dyDescent="0.15"/>
  <cols>
    <col min="1" max="1" width="8.83203125" style="1"/>
    <col min="2" max="2" width="31" style="1" customWidth="1"/>
    <col min="3" max="3" width="10.6640625" style="1" customWidth="1"/>
    <col min="4" max="4" width="13.5" style="1" customWidth="1"/>
    <col min="5" max="5" width="11.6640625" style="1" customWidth="1"/>
    <col min="6" max="6" width="21" style="1" customWidth="1"/>
    <col min="7" max="7" width="19.5" style="1" customWidth="1"/>
    <col min="8" max="8" width="14.1640625" style="1" customWidth="1"/>
    <col min="9" max="10" width="8.83203125" style="1"/>
    <col min="11" max="11" width="29.33203125" style="1" customWidth="1"/>
    <col min="12" max="257" width="8.83203125" style="1"/>
    <col min="258" max="258" width="31" style="1" customWidth="1"/>
    <col min="259" max="259" width="10.6640625" style="1" customWidth="1"/>
    <col min="260" max="261" width="8.83203125" style="1"/>
    <col min="262" max="262" width="21" style="1" customWidth="1"/>
    <col min="263" max="263" width="19.5" style="1" customWidth="1"/>
    <col min="264" max="513" width="8.83203125" style="1"/>
    <col min="514" max="514" width="31" style="1" customWidth="1"/>
    <col min="515" max="515" width="10.6640625" style="1" customWidth="1"/>
    <col min="516" max="517" width="8.83203125" style="1"/>
    <col min="518" max="518" width="21" style="1" customWidth="1"/>
    <col min="519" max="519" width="19.5" style="1" customWidth="1"/>
    <col min="520" max="769" width="8.83203125" style="1"/>
    <col min="770" max="770" width="31" style="1" customWidth="1"/>
    <col min="771" max="771" width="10.6640625" style="1" customWidth="1"/>
    <col min="772" max="773" width="8.83203125" style="1"/>
    <col min="774" max="774" width="21" style="1" customWidth="1"/>
    <col min="775" max="775" width="19.5" style="1" customWidth="1"/>
    <col min="776" max="1025" width="8.83203125" style="1"/>
    <col min="1026" max="1026" width="31" style="1" customWidth="1"/>
    <col min="1027" max="1027" width="10.6640625" style="1" customWidth="1"/>
    <col min="1028" max="1029" width="8.83203125" style="1"/>
    <col min="1030" max="1030" width="21" style="1" customWidth="1"/>
    <col min="1031" max="1031" width="19.5" style="1" customWidth="1"/>
    <col min="1032" max="1281" width="8.83203125" style="1"/>
    <col min="1282" max="1282" width="31" style="1" customWidth="1"/>
    <col min="1283" max="1283" width="10.6640625" style="1" customWidth="1"/>
    <col min="1284" max="1285" width="8.83203125" style="1"/>
    <col min="1286" max="1286" width="21" style="1" customWidth="1"/>
    <col min="1287" max="1287" width="19.5" style="1" customWidth="1"/>
    <col min="1288" max="1537" width="8.83203125" style="1"/>
    <col min="1538" max="1538" width="31" style="1" customWidth="1"/>
    <col min="1539" max="1539" width="10.6640625" style="1" customWidth="1"/>
    <col min="1540" max="1541" width="8.83203125" style="1"/>
    <col min="1542" max="1542" width="21" style="1" customWidth="1"/>
    <col min="1543" max="1543" width="19.5" style="1" customWidth="1"/>
    <col min="1544" max="1793" width="8.83203125" style="1"/>
    <col min="1794" max="1794" width="31" style="1" customWidth="1"/>
    <col min="1795" max="1795" width="10.6640625" style="1" customWidth="1"/>
    <col min="1796" max="1797" width="8.83203125" style="1"/>
    <col min="1798" max="1798" width="21" style="1" customWidth="1"/>
    <col min="1799" max="1799" width="19.5" style="1" customWidth="1"/>
    <col min="1800" max="2049" width="8.83203125" style="1"/>
    <col min="2050" max="2050" width="31" style="1" customWidth="1"/>
    <col min="2051" max="2051" width="10.6640625" style="1" customWidth="1"/>
    <col min="2052" max="2053" width="8.83203125" style="1"/>
    <col min="2054" max="2054" width="21" style="1" customWidth="1"/>
    <col min="2055" max="2055" width="19.5" style="1" customWidth="1"/>
    <col min="2056" max="2305" width="8.83203125" style="1"/>
    <col min="2306" max="2306" width="31" style="1" customWidth="1"/>
    <col min="2307" max="2307" width="10.6640625" style="1" customWidth="1"/>
    <col min="2308" max="2309" width="8.83203125" style="1"/>
    <col min="2310" max="2310" width="21" style="1" customWidth="1"/>
    <col min="2311" max="2311" width="19.5" style="1" customWidth="1"/>
    <col min="2312" max="2561" width="8.83203125" style="1"/>
    <col min="2562" max="2562" width="31" style="1" customWidth="1"/>
    <col min="2563" max="2563" width="10.6640625" style="1" customWidth="1"/>
    <col min="2564" max="2565" width="8.83203125" style="1"/>
    <col min="2566" max="2566" width="21" style="1" customWidth="1"/>
    <col min="2567" max="2567" width="19.5" style="1" customWidth="1"/>
    <col min="2568" max="2817" width="8.83203125" style="1"/>
    <col min="2818" max="2818" width="31" style="1" customWidth="1"/>
    <col min="2819" max="2819" width="10.6640625" style="1" customWidth="1"/>
    <col min="2820" max="2821" width="8.83203125" style="1"/>
    <col min="2822" max="2822" width="21" style="1" customWidth="1"/>
    <col min="2823" max="2823" width="19.5" style="1" customWidth="1"/>
    <col min="2824" max="3073" width="8.83203125" style="1"/>
    <col min="3074" max="3074" width="31" style="1" customWidth="1"/>
    <col min="3075" max="3075" width="10.6640625" style="1" customWidth="1"/>
    <col min="3076" max="3077" width="8.83203125" style="1"/>
    <col min="3078" max="3078" width="21" style="1" customWidth="1"/>
    <col min="3079" max="3079" width="19.5" style="1" customWidth="1"/>
    <col min="3080" max="3329" width="8.83203125" style="1"/>
    <col min="3330" max="3330" width="31" style="1" customWidth="1"/>
    <col min="3331" max="3331" width="10.6640625" style="1" customWidth="1"/>
    <col min="3332" max="3333" width="8.83203125" style="1"/>
    <col min="3334" max="3334" width="21" style="1" customWidth="1"/>
    <col min="3335" max="3335" width="19.5" style="1" customWidth="1"/>
    <col min="3336" max="3585" width="8.83203125" style="1"/>
    <col min="3586" max="3586" width="31" style="1" customWidth="1"/>
    <col min="3587" max="3587" width="10.6640625" style="1" customWidth="1"/>
    <col min="3588" max="3589" width="8.83203125" style="1"/>
    <col min="3590" max="3590" width="21" style="1" customWidth="1"/>
    <col min="3591" max="3591" width="19.5" style="1" customWidth="1"/>
    <col min="3592" max="3841" width="8.83203125" style="1"/>
    <col min="3842" max="3842" width="31" style="1" customWidth="1"/>
    <col min="3843" max="3843" width="10.6640625" style="1" customWidth="1"/>
    <col min="3844" max="3845" width="8.83203125" style="1"/>
    <col min="3846" max="3846" width="21" style="1" customWidth="1"/>
    <col min="3847" max="3847" width="19.5" style="1" customWidth="1"/>
    <col min="3848" max="4097" width="8.83203125" style="1"/>
    <col min="4098" max="4098" width="31" style="1" customWidth="1"/>
    <col min="4099" max="4099" width="10.6640625" style="1" customWidth="1"/>
    <col min="4100" max="4101" width="8.83203125" style="1"/>
    <col min="4102" max="4102" width="21" style="1" customWidth="1"/>
    <col min="4103" max="4103" width="19.5" style="1" customWidth="1"/>
    <col min="4104" max="4353" width="8.83203125" style="1"/>
    <col min="4354" max="4354" width="31" style="1" customWidth="1"/>
    <col min="4355" max="4355" width="10.6640625" style="1" customWidth="1"/>
    <col min="4356" max="4357" width="8.83203125" style="1"/>
    <col min="4358" max="4358" width="21" style="1" customWidth="1"/>
    <col min="4359" max="4359" width="19.5" style="1" customWidth="1"/>
    <col min="4360" max="4609" width="8.83203125" style="1"/>
    <col min="4610" max="4610" width="31" style="1" customWidth="1"/>
    <col min="4611" max="4611" width="10.6640625" style="1" customWidth="1"/>
    <col min="4612" max="4613" width="8.83203125" style="1"/>
    <col min="4614" max="4614" width="21" style="1" customWidth="1"/>
    <col min="4615" max="4615" width="19.5" style="1" customWidth="1"/>
    <col min="4616" max="4865" width="8.83203125" style="1"/>
    <col min="4866" max="4866" width="31" style="1" customWidth="1"/>
    <col min="4867" max="4867" width="10.6640625" style="1" customWidth="1"/>
    <col min="4868" max="4869" width="8.83203125" style="1"/>
    <col min="4870" max="4870" width="21" style="1" customWidth="1"/>
    <col min="4871" max="4871" width="19.5" style="1" customWidth="1"/>
    <col min="4872" max="5121" width="8.83203125" style="1"/>
    <col min="5122" max="5122" width="31" style="1" customWidth="1"/>
    <col min="5123" max="5123" width="10.6640625" style="1" customWidth="1"/>
    <col min="5124" max="5125" width="8.83203125" style="1"/>
    <col min="5126" max="5126" width="21" style="1" customWidth="1"/>
    <col min="5127" max="5127" width="19.5" style="1" customWidth="1"/>
    <col min="5128" max="5377" width="8.83203125" style="1"/>
    <col min="5378" max="5378" width="31" style="1" customWidth="1"/>
    <col min="5379" max="5379" width="10.6640625" style="1" customWidth="1"/>
    <col min="5380" max="5381" width="8.83203125" style="1"/>
    <col min="5382" max="5382" width="21" style="1" customWidth="1"/>
    <col min="5383" max="5383" width="19.5" style="1" customWidth="1"/>
    <col min="5384" max="5633" width="8.83203125" style="1"/>
    <col min="5634" max="5634" width="31" style="1" customWidth="1"/>
    <col min="5635" max="5635" width="10.6640625" style="1" customWidth="1"/>
    <col min="5636" max="5637" width="8.83203125" style="1"/>
    <col min="5638" max="5638" width="21" style="1" customWidth="1"/>
    <col min="5639" max="5639" width="19.5" style="1" customWidth="1"/>
    <col min="5640" max="5889" width="8.83203125" style="1"/>
    <col min="5890" max="5890" width="31" style="1" customWidth="1"/>
    <col min="5891" max="5891" width="10.6640625" style="1" customWidth="1"/>
    <col min="5892" max="5893" width="8.83203125" style="1"/>
    <col min="5894" max="5894" width="21" style="1" customWidth="1"/>
    <col min="5895" max="5895" width="19.5" style="1" customWidth="1"/>
    <col min="5896" max="6145" width="8.83203125" style="1"/>
    <col min="6146" max="6146" width="31" style="1" customWidth="1"/>
    <col min="6147" max="6147" width="10.6640625" style="1" customWidth="1"/>
    <col min="6148" max="6149" width="8.83203125" style="1"/>
    <col min="6150" max="6150" width="21" style="1" customWidth="1"/>
    <col min="6151" max="6151" width="19.5" style="1" customWidth="1"/>
    <col min="6152" max="6401" width="8.83203125" style="1"/>
    <col min="6402" max="6402" width="31" style="1" customWidth="1"/>
    <col min="6403" max="6403" width="10.6640625" style="1" customWidth="1"/>
    <col min="6404" max="6405" width="8.83203125" style="1"/>
    <col min="6406" max="6406" width="21" style="1" customWidth="1"/>
    <col min="6407" max="6407" width="19.5" style="1" customWidth="1"/>
    <col min="6408" max="6657" width="8.83203125" style="1"/>
    <col min="6658" max="6658" width="31" style="1" customWidth="1"/>
    <col min="6659" max="6659" width="10.6640625" style="1" customWidth="1"/>
    <col min="6660" max="6661" width="8.83203125" style="1"/>
    <col min="6662" max="6662" width="21" style="1" customWidth="1"/>
    <col min="6663" max="6663" width="19.5" style="1" customWidth="1"/>
    <col min="6664" max="6913" width="8.83203125" style="1"/>
    <col min="6914" max="6914" width="31" style="1" customWidth="1"/>
    <col min="6915" max="6915" width="10.6640625" style="1" customWidth="1"/>
    <col min="6916" max="6917" width="8.83203125" style="1"/>
    <col min="6918" max="6918" width="21" style="1" customWidth="1"/>
    <col min="6919" max="6919" width="19.5" style="1" customWidth="1"/>
    <col min="6920" max="7169" width="8.83203125" style="1"/>
    <col min="7170" max="7170" width="31" style="1" customWidth="1"/>
    <col min="7171" max="7171" width="10.6640625" style="1" customWidth="1"/>
    <col min="7172" max="7173" width="8.83203125" style="1"/>
    <col min="7174" max="7174" width="21" style="1" customWidth="1"/>
    <col min="7175" max="7175" width="19.5" style="1" customWidth="1"/>
    <col min="7176" max="7425" width="8.83203125" style="1"/>
    <col min="7426" max="7426" width="31" style="1" customWidth="1"/>
    <col min="7427" max="7427" width="10.6640625" style="1" customWidth="1"/>
    <col min="7428" max="7429" width="8.83203125" style="1"/>
    <col min="7430" max="7430" width="21" style="1" customWidth="1"/>
    <col min="7431" max="7431" width="19.5" style="1" customWidth="1"/>
    <col min="7432" max="7681" width="8.83203125" style="1"/>
    <col min="7682" max="7682" width="31" style="1" customWidth="1"/>
    <col min="7683" max="7683" width="10.6640625" style="1" customWidth="1"/>
    <col min="7684" max="7685" width="8.83203125" style="1"/>
    <col min="7686" max="7686" width="21" style="1" customWidth="1"/>
    <col min="7687" max="7687" width="19.5" style="1" customWidth="1"/>
    <col min="7688" max="7937" width="8.83203125" style="1"/>
    <col min="7938" max="7938" width="31" style="1" customWidth="1"/>
    <col min="7939" max="7939" width="10.6640625" style="1" customWidth="1"/>
    <col min="7940" max="7941" width="8.83203125" style="1"/>
    <col min="7942" max="7942" width="21" style="1" customWidth="1"/>
    <col min="7943" max="7943" width="19.5" style="1" customWidth="1"/>
    <col min="7944" max="8193" width="8.83203125" style="1"/>
    <col min="8194" max="8194" width="31" style="1" customWidth="1"/>
    <col min="8195" max="8195" width="10.6640625" style="1" customWidth="1"/>
    <col min="8196" max="8197" width="8.83203125" style="1"/>
    <col min="8198" max="8198" width="21" style="1" customWidth="1"/>
    <col min="8199" max="8199" width="19.5" style="1" customWidth="1"/>
    <col min="8200" max="8449" width="8.83203125" style="1"/>
    <col min="8450" max="8450" width="31" style="1" customWidth="1"/>
    <col min="8451" max="8451" width="10.6640625" style="1" customWidth="1"/>
    <col min="8452" max="8453" width="8.83203125" style="1"/>
    <col min="8454" max="8454" width="21" style="1" customWidth="1"/>
    <col min="8455" max="8455" width="19.5" style="1" customWidth="1"/>
    <col min="8456" max="8705" width="8.83203125" style="1"/>
    <col min="8706" max="8706" width="31" style="1" customWidth="1"/>
    <col min="8707" max="8707" width="10.6640625" style="1" customWidth="1"/>
    <col min="8708" max="8709" width="8.83203125" style="1"/>
    <col min="8710" max="8710" width="21" style="1" customWidth="1"/>
    <col min="8711" max="8711" width="19.5" style="1" customWidth="1"/>
    <col min="8712" max="8961" width="8.83203125" style="1"/>
    <col min="8962" max="8962" width="31" style="1" customWidth="1"/>
    <col min="8963" max="8963" width="10.6640625" style="1" customWidth="1"/>
    <col min="8964" max="8965" width="8.83203125" style="1"/>
    <col min="8966" max="8966" width="21" style="1" customWidth="1"/>
    <col min="8967" max="8967" width="19.5" style="1" customWidth="1"/>
    <col min="8968" max="9217" width="8.83203125" style="1"/>
    <col min="9218" max="9218" width="31" style="1" customWidth="1"/>
    <col min="9219" max="9219" width="10.6640625" style="1" customWidth="1"/>
    <col min="9220" max="9221" width="8.83203125" style="1"/>
    <col min="9222" max="9222" width="21" style="1" customWidth="1"/>
    <col min="9223" max="9223" width="19.5" style="1" customWidth="1"/>
    <col min="9224" max="9473" width="8.83203125" style="1"/>
    <col min="9474" max="9474" width="31" style="1" customWidth="1"/>
    <col min="9475" max="9475" width="10.6640625" style="1" customWidth="1"/>
    <col min="9476" max="9477" width="8.83203125" style="1"/>
    <col min="9478" max="9478" width="21" style="1" customWidth="1"/>
    <col min="9479" max="9479" width="19.5" style="1" customWidth="1"/>
    <col min="9480" max="9729" width="8.83203125" style="1"/>
    <col min="9730" max="9730" width="31" style="1" customWidth="1"/>
    <col min="9731" max="9731" width="10.6640625" style="1" customWidth="1"/>
    <col min="9732" max="9733" width="8.83203125" style="1"/>
    <col min="9734" max="9734" width="21" style="1" customWidth="1"/>
    <col min="9735" max="9735" width="19.5" style="1" customWidth="1"/>
    <col min="9736" max="9985" width="8.83203125" style="1"/>
    <col min="9986" max="9986" width="31" style="1" customWidth="1"/>
    <col min="9987" max="9987" width="10.6640625" style="1" customWidth="1"/>
    <col min="9988" max="9989" width="8.83203125" style="1"/>
    <col min="9990" max="9990" width="21" style="1" customWidth="1"/>
    <col min="9991" max="9991" width="19.5" style="1" customWidth="1"/>
    <col min="9992" max="10241" width="8.83203125" style="1"/>
    <col min="10242" max="10242" width="31" style="1" customWidth="1"/>
    <col min="10243" max="10243" width="10.6640625" style="1" customWidth="1"/>
    <col min="10244" max="10245" width="8.83203125" style="1"/>
    <col min="10246" max="10246" width="21" style="1" customWidth="1"/>
    <col min="10247" max="10247" width="19.5" style="1" customWidth="1"/>
    <col min="10248" max="10497" width="8.83203125" style="1"/>
    <col min="10498" max="10498" width="31" style="1" customWidth="1"/>
    <col min="10499" max="10499" width="10.6640625" style="1" customWidth="1"/>
    <col min="10500" max="10501" width="8.83203125" style="1"/>
    <col min="10502" max="10502" width="21" style="1" customWidth="1"/>
    <col min="10503" max="10503" width="19.5" style="1" customWidth="1"/>
    <col min="10504" max="10753" width="8.83203125" style="1"/>
    <col min="10754" max="10754" width="31" style="1" customWidth="1"/>
    <col min="10755" max="10755" width="10.6640625" style="1" customWidth="1"/>
    <col min="10756" max="10757" width="8.83203125" style="1"/>
    <col min="10758" max="10758" width="21" style="1" customWidth="1"/>
    <col min="10759" max="10759" width="19.5" style="1" customWidth="1"/>
    <col min="10760" max="11009" width="8.83203125" style="1"/>
    <col min="11010" max="11010" width="31" style="1" customWidth="1"/>
    <col min="11011" max="11011" width="10.6640625" style="1" customWidth="1"/>
    <col min="11012" max="11013" width="8.83203125" style="1"/>
    <col min="11014" max="11014" width="21" style="1" customWidth="1"/>
    <col min="11015" max="11015" width="19.5" style="1" customWidth="1"/>
    <col min="11016" max="11265" width="8.83203125" style="1"/>
    <col min="11266" max="11266" width="31" style="1" customWidth="1"/>
    <col min="11267" max="11267" width="10.6640625" style="1" customWidth="1"/>
    <col min="11268" max="11269" width="8.83203125" style="1"/>
    <col min="11270" max="11270" width="21" style="1" customWidth="1"/>
    <col min="11271" max="11271" width="19.5" style="1" customWidth="1"/>
    <col min="11272" max="11521" width="8.83203125" style="1"/>
    <col min="11522" max="11522" width="31" style="1" customWidth="1"/>
    <col min="11523" max="11523" width="10.6640625" style="1" customWidth="1"/>
    <col min="11524" max="11525" width="8.83203125" style="1"/>
    <col min="11526" max="11526" width="21" style="1" customWidth="1"/>
    <col min="11527" max="11527" width="19.5" style="1" customWidth="1"/>
    <col min="11528" max="11777" width="8.83203125" style="1"/>
    <col min="11778" max="11778" width="31" style="1" customWidth="1"/>
    <col min="11779" max="11779" width="10.6640625" style="1" customWidth="1"/>
    <col min="11780" max="11781" width="8.83203125" style="1"/>
    <col min="11782" max="11782" width="21" style="1" customWidth="1"/>
    <col min="11783" max="11783" width="19.5" style="1" customWidth="1"/>
    <col min="11784" max="12033" width="8.83203125" style="1"/>
    <col min="12034" max="12034" width="31" style="1" customWidth="1"/>
    <col min="12035" max="12035" width="10.6640625" style="1" customWidth="1"/>
    <col min="12036" max="12037" width="8.83203125" style="1"/>
    <col min="12038" max="12038" width="21" style="1" customWidth="1"/>
    <col min="12039" max="12039" width="19.5" style="1" customWidth="1"/>
    <col min="12040" max="12289" width="8.83203125" style="1"/>
    <col min="12290" max="12290" width="31" style="1" customWidth="1"/>
    <col min="12291" max="12291" width="10.6640625" style="1" customWidth="1"/>
    <col min="12292" max="12293" width="8.83203125" style="1"/>
    <col min="12294" max="12294" width="21" style="1" customWidth="1"/>
    <col min="12295" max="12295" width="19.5" style="1" customWidth="1"/>
    <col min="12296" max="12545" width="8.83203125" style="1"/>
    <col min="12546" max="12546" width="31" style="1" customWidth="1"/>
    <col min="12547" max="12547" width="10.6640625" style="1" customWidth="1"/>
    <col min="12548" max="12549" width="8.83203125" style="1"/>
    <col min="12550" max="12550" width="21" style="1" customWidth="1"/>
    <col min="12551" max="12551" width="19.5" style="1" customWidth="1"/>
    <col min="12552" max="12801" width="8.83203125" style="1"/>
    <col min="12802" max="12802" width="31" style="1" customWidth="1"/>
    <col min="12803" max="12803" width="10.6640625" style="1" customWidth="1"/>
    <col min="12804" max="12805" width="8.83203125" style="1"/>
    <col min="12806" max="12806" width="21" style="1" customWidth="1"/>
    <col min="12807" max="12807" width="19.5" style="1" customWidth="1"/>
    <col min="12808" max="13057" width="8.83203125" style="1"/>
    <col min="13058" max="13058" width="31" style="1" customWidth="1"/>
    <col min="13059" max="13059" width="10.6640625" style="1" customWidth="1"/>
    <col min="13060" max="13061" width="8.83203125" style="1"/>
    <col min="13062" max="13062" width="21" style="1" customWidth="1"/>
    <col min="13063" max="13063" width="19.5" style="1" customWidth="1"/>
    <col min="13064" max="13313" width="8.83203125" style="1"/>
    <col min="13314" max="13314" width="31" style="1" customWidth="1"/>
    <col min="13315" max="13315" width="10.6640625" style="1" customWidth="1"/>
    <col min="13316" max="13317" width="8.83203125" style="1"/>
    <col min="13318" max="13318" width="21" style="1" customWidth="1"/>
    <col min="13319" max="13319" width="19.5" style="1" customWidth="1"/>
    <col min="13320" max="13569" width="8.83203125" style="1"/>
    <col min="13570" max="13570" width="31" style="1" customWidth="1"/>
    <col min="13571" max="13571" width="10.6640625" style="1" customWidth="1"/>
    <col min="13572" max="13573" width="8.83203125" style="1"/>
    <col min="13574" max="13574" width="21" style="1" customWidth="1"/>
    <col min="13575" max="13575" width="19.5" style="1" customWidth="1"/>
    <col min="13576" max="13825" width="8.83203125" style="1"/>
    <col min="13826" max="13826" width="31" style="1" customWidth="1"/>
    <col min="13827" max="13827" width="10.6640625" style="1" customWidth="1"/>
    <col min="13828" max="13829" width="8.83203125" style="1"/>
    <col min="13830" max="13830" width="21" style="1" customWidth="1"/>
    <col min="13831" max="13831" width="19.5" style="1" customWidth="1"/>
    <col min="13832" max="14081" width="8.83203125" style="1"/>
    <col min="14082" max="14082" width="31" style="1" customWidth="1"/>
    <col min="14083" max="14083" width="10.6640625" style="1" customWidth="1"/>
    <col min="14084" max="14085" width="8.83203125" style="1"/>
    <col min="14086" max="14086" width="21" style="1" customWidth="1"/>
    <col min="14087" max="14087" width="19.5" style="1" customWidth="1"/>
    <col min="14088" max="14337" width="8.83203125" style="1"/>
    <col min="14338" max="14338" width="31" style="1" customWidth="1"/>
    <col min="14339" max="14339" width="10.6640625" style="1" customWidth="1"/>
    <col min="14340" max="14341" width="8.83203125" style="1"/>
    <col min="14342" max="14342" width="21" style="1" customWidth="1"/>
    <col min="14343" max="14343" width="19.5" style="1" customWidth="1"/>
    <col min="14344" max="14593" width="8.83203125" style="1"/>
    <col min="14594" max="14594" width="31" style="1" customWidth="1"/>
    <col min="14595" max="14595" width="10.6640625" style="1" customWidth="1"/>
    <col min="14596" max="14597" width="8.83203125" style="1"/>
    <col min="14598" max="14598" width="21" style="1" customWidth="1"/>
    <col min="14599" max="14599" width="19.5" style="1" customWidth="1"/>
    <col min="14600" max="14849" width="8.83203125" style="1"/>
    <col min="14850" max="14850" width="31" style="1" customWidth="1"/>
    <col min="14851" max="14851" width="10.6640625" style="1" customWidth="1"/>
    <col min="14852" max="14853" width="8.83203125" style="1"/>
    <col min="14854" max="14854" width="21" style="1" customWidth="1"/>
    <col min="14855" max="14855" width="19.5" style="1" customWidth="1"/>
    <col min="14856" max="15105" width="8.83203125" style="1"/>
    <col min="15106" max="15106" width="31" style="1" customWidth="1"/>
    <col min="15107" max="15107" width="10.6640625" style="1" customWidth="1"/>
    <col min="15108" max="15109" width="8.83203125" style="1"/>
    <col min="15110" max="15110" width="21" style="1" customWidth="1"/>
    <col min="15111" max="15111" width="19.5" style="1" customWidth="1"/>
    <col min="15112" max="15361" width="8.83203125" style="1"/>
    <col min="15362" max="15362" width="31" style="1" customWidth="1"/>
    <col min="15363" max="15363" width="10.6640625" style="1" customWidth="1"/>
    <col min="15364" max="15365" width="8.83203125" style="1"/>
    <col min="15366" max="15366" width="21" style="1" customWidth="1"/>
    <col min="15367" max="15367" width="19.5" style="1" customWidth="1"/>
    <col min="15368" max="15617" width="8.83203125" style="1"/>
    <col min="15618" max="15618" width="31" style="1" customWidth="1"/>
    <col min="15619" max="15619" width="10.6640625" style="1" customWidth="1"/>
    <col min="15620" max="15621" width="8.83203125" style="1"/>
    <col min="15622" max="15622" width="21" style="1" customWidth="1"/>
    <col min="15623" max="15623" width="19.5" style="1" customWidth="1"/>
    <col min="15624" max="15873" width="8.83203125" style="1"/>
    <col min="15874" max="15874" width="31" style="1" customWidth="1"/>
    <col min="15875" max="15875" width="10.6640625" style="1" customWidth="1"/>
    <col min="15876" max="15877" width="8.83203125" style="1"/>
    <col min="15878" max="15878" width="21" style="1" customWidth="1"/>
    <col min="15879" max="15879" width="19.5" style="1" customWidth="1"/>
    <col min="15880" max="16129" width="8.83203125" style="1"/>
    <col min="16130" max="16130" width="31" style="1" customWidth="1"/>
    <col min="16131" max="16131" width="10.6640625" style="1" customWidth="1"/>
    <col min="16132" max="16133" width="8.83203125" style="1"/>
    <col min="16134" max="16134" width="21" style="1" customWidth="1"/>
    <col min="16135" max="16135" width="19.5" style="1" customWidth="1"/>
    <col min="16136" max="16384" width="8.83203125" style="1"/>
  </cols>
  <sheetData>
    <row r="3" spans="1:8" ht="20" x14ac:dyDescent="0.2">
      <c r="C3" s="2" t="s">
        <v>42</v>
      </c>
      <c r="D3" s="3"/>
      <c r="E3" s="3"/>
      <c r="F3" s="3"/>
      <c r="G3" s="4" t="s">
        <v>0</v>
      </c>
      <c r="H3" s="5"/>
    </row>
    <row r="5" spans="1:8" ht="16" x14ac:dyDescent="0.2">
      <c r="B5" s="6" t="s">
        <v>1</v>
      </c>
    </row>
    <row r="6" spans="1:8" ht="14" thickBot="1" x14ac:dyDescent="0.2">
      <c r="B6" s="7" t="s">
        <v>2</v>
      </c>
      <c r="C6" s="7"/>
      <c r="D6" s="7"/>
    </row>
    <row r="7" spans="1:8" ht="14" thickTop="1" x14ac:dyDescent="0.15">
      <c r="A7" s="8"/>
      <c r="B7" s="9"/>
      <c r="C7" s="9"/>
      <c r="D7" s="10"/>
      <c r="G7" s="11"/>
    </row>
    <row r="8" spans="1:8" ht="14" thickBot="1" x14ac:dyDescent="0.2">
      <c r="A8" s="12"/>
      <c r="D8" s="13"/>
    </row>
    <row r="9" spans="1:8" ht="17" x14ac:dyDescent="0.15">
      <c r="A9" s="12"/>
      <c r="B9" s="14" t="s">
        <v>3</v>
      </c>
      <c r="C9" s="15">
        <v>565000</v>
      </c>
      <c r="D9" s="13"/>
      <c r="G9" s="16"/>
    </row>
    <row r="10" spans="1:8" ht="17" x14ac:dyDescent="0.15">
      <c r="A10" s="12"/>
      <c r="B10" s="17" t="s">
        <v>4</v>
      </c>
      <c r="C10" s="18">
        <f>C9*0.2</f>
        <v>113000</v>
      </c>
      <c r="D10" s="13"/>
      <c r="E10" s="16"/>
      <c r="F10" s="19"/>
    </row>
    <row r="11" spans="1:8" ht="17" x14ac:dyDescent="0.15">
      <c r="A11" s="12"/>
      <c r="B11" s="17" t="s">
        <v>5</v>
      </c>
      <c r="C11" s="18">
        <f>C9-C10</f>
        <v>452000</v>
      </c>
      <c r="D11" s="13"/>
      <c r="F11" s="19" t="s">
        <v>6</v>
      </c>
    </row>
    <row r="12" spans="1:8" ht="17" x14ac:dyDescent="0.15">
      <c r="A12" s="12"/>
      <c r="B12" s="17" t="s">
        <v>7</v>
      </c>
      <c r="C12" s="20">
        <v>1.89E-2</v>
      </c>
      <c r="D12" s="13"/>
      <c r="F12" s="21"/>
      <c r="G12" s="22" t="s">
        <v>8</v>
      </c>
      <c r="H12" s="23">
        <f>C12</f>
        <v>1.89E-2</v>
      </c>
    </row>
    <row r="13" spans="1:8" ht="17" x14ac:dyDescent="0.15">
      <c r="A13" s="12"/>
      <c r="B13" s="17" t="s">
        <v>9</v>
      </c>
      <c r="C13" s="24">
        <v>30</v>
      </c>
      <c r="D13" s="13"/>
      <c r="F13" s="25">
        <f>PMT(H12/12,H13*12,H14)</f>
        <v>-1645.9264143368039</v>
      </c>
      <c r="G13" s="1" t="s">
        <v>10</v>
      </c>
      <c r="H13" s="26">
        <f>C13</f>
        <v>30</v>
      </c>
    </row>
    <row r="14" spans="1:8" ht="17" x14ac:dyDescent="0.15">
      <c r="A14" s="12"/>
      <c r="B14" s="17" t="s">
        <v>11</v>
      </c>
      <c r="C14" s="27" t="s">
        <v>12</v>
      </c>
      <c r="D14" s="13"/>
      <c r="F14" s="28"/>
      <c r="G14" s="29" t="s">
        <v>13</v>
      </c>
      <c r="H14" s="30">
        <f>C11</f>
        <v>452000</v>
      </c>
    </row>
    <row r="15" spans="1:8" ht="17" x14ac:dyDescent="0.15">
      <c r="A15" s="12"/>
      <c r="B15" s="17" t="s">
        <v>14</v>
      </c>
      <c r="C15" s="55">
        <f>-F13</f>
        <v>1645.9264143368039</v>
      </c>
      <c r="D15" s="13"/>
    </row>
    <row r="16" spans="1:8" ht="18" thickBot="1" x14ac:dyDescent="0.2">
      <c r="A16" s="12"/>
      <c r="B16" s="31" t="s">
        <v>15</v>
      </c>
      <c r="C16" s="56"/>
      <c r="D16" s="13"/>
      <c r="F16" s="16"/>
    </row>
    <row r="17" spans="1:10" ht="14" thickBot="1" x14ac:dyDescent="0.2">
      <c r="A17" s="32"/>
      <c r="B17" s="33"/>
      <c r="C17" s="33"/>
      <c r="D17" s="34"/>
      <c r="F17" s="35"/>
      <c r="G17" s="36"/>
    </row>
    <row r="18" spans="1:10" ht="14" thickTop="1" x14ac:dyDescent="0.15">
      <c r="E18" s="35"/>
      <c r="G18" s="36"/>
    </row>
    <row r="22" spans="1:10" ht="17" thickBot="1" x14ac:dyDescent="0.25">
      <c r="B22" s="6" t="s">
        <v>16</v>
      </c>
      <c r="F22" s="6" t="s">
        <v>17</v>
      </c>
    </row>
    <row r="23" spans="1:10" x14ac:dyDescent="0.15">
      <c r="C23" s="37" t="s">
        <v>18</v>
      </c>
      <c r="D23" s="54" t="s">
        <v>19</v>
      </c>
    </row>
    <row r="24" spans="1:10" x14ac:dyDescent="0.15">
      <c r="B24" s="1" t="s">
        <v>20</v>
      </c>
      <c r="C24" s="38">
        <f>C15</f>
        <v>1645.9264143368039</v>
      </c>
      <c r="D24" s="39"/>
    </row>
    <row r="25" spans="1:10" x14ac:dyDescent="0.15">
      <c r="B25" s="19" t="s">
        <v>21</v>
      </c>
      <c r="C25" s="40"/>
      <c r="D25" s="41"/>
    </row>
    <row r="26" spans="1:10" x14ac:dyDescent="0.15">
      <c r="B26" s="19" t="s">
        <v>22</v>
      </c>
      <c r="C26" s="40">
        <v>0</v>
      </c>
      <c r="D26" s="41"/>
    </row>
    <row r="27" spans="1:10" x14ac:dyDescent="0.15">
      <c r="B27" s="19" t="s">
        <v>23</v>
      </c>
      <c r="C27" s="40">
        <f>D27/12</f>
        <v>0</v>
      </c>
      <c r="D27" s="41"/>
      <c r="E27" s="19" t="s">
        <v>24</v>
      </c>
      <c r="G27" s="19" t="s">
        <v>25</v>
      </c>
      <c r="H27" s="19" t="s">
        <v>26</v>
      </c>
    </row>
    <row r="28" spans="1:10" x14ac:dyDescent="0.15">
      <c r="B28" s="19" t="s">
        <v>27</v>
      </c>
      <c r="C28" s="40">
        <f>D28/12</f>
        <v>83.333333333333329</v>
      </c>
      <c r="D28" s="41">
        <v>1000</v>
      </c>
      <c r="F28" s="1" t="s">
        <v>28</v>
      </c>
      <c r="G28" s="42">
        <v>2300</v>
      </c>
      <c r="H28" s="42"/>
    </row>
    <row r="29" spans="1:10" x14ac:dyDescent="0.15">
      <c r="B29" s="19" t="s">
        <v>29</v>
      </c>
      <c r="C29" s="40">
        <f>D29/12</f>
        <v>302.75</v>
      </c>
      <c r="D29" s="41">
        <v>3633</v>
      </c>
      <c r="F29" s="19" t="s">
        <v>30</v>
      </c>
      <c r="G29" s="42"/>
      <c r="H29" s="42"/>
    </row>
    <row r="30" spans="1:10" x14ac:dyDescent="0.15">
      <c r="B30" s="19" t="s">
        <v>31</v>
      </c>
      <c r="C30" s="40"/>
      <c r="D30" s="41"/>
      <c r="F30" s="1" t="s">
        <v>32</v>
      </c>
      <c r="G30" s="43"/>
      <c r="H30" s="42"/>
    </row>
    <row r="31" spans="1:10" x14ac:dyDescent="0.15">
      <c r="B31" s="19" t="s">
        <v>33</v>
      </c>
      <c r="C31" s="40"/>
      <c r="D31" s="41"/>
      <c r="E31" s="19" t="s">
        <v>24</v>
      </c>
      <c r="F31" s="1" t="s">
        <v>34</v>
      </c>
      <c r="G31" s="42"/>
      <c r="H31" s="42"/>
      <c r="J31" s="44"/>
    </row>
    <row r="32" spans="1:10" x14ac:dyDescent="0.15">
      <c r="B32" s="19"/>
      <c r="C32" s="43"/>
      <c r="D32" s="41"/>
      <c r="F32" s="1" t="s">
        <v>35</v>
      </c>
      <c r="G32" s="42"/>
      <c r="H32" s="42"/>
    </row>
    <row r="33" spans="2:10" x14ac:dyDescent="0.15">
      <c r="B33" s="45" t="s">
        <v>36</v>
      </c>
      <c r="C33" s="46">
        <f>SUM(C24:C32)</f>
        <v>2032.0097476701371</v>
      </c>
      <c r="F33" s="1" t="s">
        <v>37</v>
      </c>
      <c r="G33" s="42"/>
      <c r="H33" s="42"/>
    </row>
    <row r="34" spans="2:10" x14ac:dyDescent="0.15">
      <c r="H34" s="1">
        <f>SUM(H28:H33)</f>
        <v>0</v>
      </c>
    </row>
    <row r="35" spans="2:10" x14ac:dyDescent="0.15">
      <c r="F35" s="45" t="s">
        <v>36</v>
      </c>
      <c r="G35" s="43">
        <f>SUM(G28:G34)</f>
        <v>2300</v>
      </c>
    </row>
    <row r="40" spans="2:10" x14ac:dyDescent="0.15">
      <c r="B40" s="45" t="s">
        <v>38</v>
      </c>
      <c r="C40" s="47">
        <f>G35</f>
        <v>2300</v>
      </c>
      <c r="G40" s="48"/>
    </row>
    <row r="41" spans="2:10" x14ac:dyDescent="0.15">
      <c r="B41" s="45" t="s">
        <v>39</v>
      </c>
      <c r="C41" s="49">
        <f>C33</f>
        <v>2032.0097476701371</v>
      </c>
      <c r="F41" s="48"/>
    </row>
    <row r="42" spans="2:10" ht="14" thickBot="1" x14ac:dyDescent="0.2">
      <c r="B42" s="45"/>
    </row>
    <row r="43" spans="2:10" ht="17" thickTop="1" x14ac:dyDescent="0.2">
      <c r="B43" s="6" t="s">
        <v>40</v>
      </c>
      <c r="C43" s="50">
        <f>C40-C41</f>
        <v>267.99025232986287</v>
      </c>
      <c r="D43" s="51">
        <f>C43*12</f>
        <v>3215.8830279583544</v>
      </c>
      <c r="E43" s="52" t="s">
        <v>41</v>
      </c>
      <c r="H43" s="48"/>
      <c r="J43" s="48"/>
    </row>
    <row r="44" spans="2:10" x14ac:dyDescent="0.15">
      <c r="I44" s="53"/>
    </row>
  </sheetData>
  <mergeCells count="1">
    <mergeCell ref="C15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277 STONEWAY DRIVE</vt:lpstr>
    </vt:vector>
  </TitlesOfParts>
  <Company>Government of Canada / Gouvernement du Canada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Catanzariti, Frank</dc:creator>
  <cp:lastModifiedBy>Joseph Zappavigna</cp:lastModifiedBy>
  <dcterms:created xsi:type="dcterms:W3CDTF">2018-04-12T16:37:44Z</dcterms:created>
  <dcterms:modified xsi:type="dcterms:W3CDTF">2024-06-12T01:38:57Z</dcterms:modified>
</cp:coreProperties>
</file>